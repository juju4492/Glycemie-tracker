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gregoire\Desktop\"/>
    </mc:Choice>
  </mc:AlternateContent>
  <xr:revisionPtr revIDLastSave="0" documentId="13_ncr:1_{ED356BCB-5E6D-4242-984A-B82FC8769210}" xr6:coauthVersionLast="46" xr6:coauthVersionMax="46" xr10:uidLastSave="{00000000-0000-0000-0000-000000000000}"/>
  <bookViews>
    <workbookView xWindow="28680" yWindow="-120" windowWidth="29040" windowHeight="15840" xr2:uid="{95E2759D-4DB9-4639-8332-4A049E49A754}"/>
  </bookViews>
  <sheets>
    <sheet name="Suivi" sheetId="1" r:id="rId1"/>
    <sheet name="Calcul" sheetId="3" r:id="rId2"/>
    <sheet name="Graphiqu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1" l="1"/>
  <c r="M17" i="1"/>
  <c r="D20" i="3"/>
  <c r="D14" i="3"/>
  <c r="D15" i="3" l="1"/>
  <c r="D16" i="3"/>
  <c r="D19" i="3" l="1"/>
  <c r="D10" i="3" s="1"/>
  <c r="D21" i="3" l="1"/>
</calcChain>
</file>

<file path=xl/sharedStrings.xml><?xml version="1.0" encoding="utf-8"?>
<sst xmlns="http://schemas.openxmlformats.org/spreadsheetml/2006/main" count="39" uniqueCount="27">
  <si>
    <t>Glycemie</t>
  </si>
  <si>
    <t>Date et heure</t>
  </si>
  <si>
    <t>Repas (quantité de glucides)</t>
  </si>
  <si>
    <t>Quantité d'insuline</t>
  </si>
  <si>
    <t>Raison de la piqure</t>
  </si>
  <si>
    <t>Moyenne de la glycémie sur la période</t>
  </si>
  <si>
    <t>Valeur</t>
  </si>
  <si>
    <t>Glycémie de départ</t>
  </si>
  <si>
    <t>Glycémie d'arrivée</t>
  </si>
  <si>
    <t>Ratio de baisse d'insuline calculée</t>
  </si>
  <si>
    <t>Ratio de baisse d'insuline théorique</t>
  </si>
  <si>
    <t>Cible haute</t>
  </si>
  <si>
    <t xml:space="preserve">Cible basse </t>
  </si>
  <si>
    <t>Minimum de glycémie sur la période</t>
  </si>
  <si>
    <t>Maximum de glycémie sur la période</t>
  </si>
  <si>
    <t>Stats glycémie</t>
  </si>
  <si>
    <t>Calculateurs ajout insuline</t>
  </si>
  <si>
    <t>Nombre de sucre dans le repas (g)</t>
  </si>
  <si>
    <t>Ratio d'unités en fonction du sucre (U/10g)</t>
  </si>
  <si>
    <t>Insuline a rajouter (correction)</t>
  </si>
  <si>
    <t>Insuline à ajouter (repas)</t>
  </si>
  <si>
    <t>Total insulinee injection</t>
  </si>
  <si>
    <t>Valeurs de glycémie pour calcul ratio de baisse d'insuline</t>
  </si>
  <si>
    <t>Valeur modifiable</t>
  </si>
  <si>
    <t>non</t>
  </si>
  <si>
    <t>oui</t>
  </si>
  <si>
    <t>Valeurs fixées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</si>
</sst>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2" x14ac:knownFonts="1">
    <font>
      <sz val="11"/>
      <color theme="1"/>
      <name val="Calibri"/>
      <family val="2"/>
      <scheme val="minor"/>
    </font>
    <font>
      <sz val="12"/>
      <color rgb="FF0A010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1" fontId="0" fillId="0" borderId="0" xfId="0" applyNumberFormat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2" borderId="7" xfId="0" applyFill="1" applyBorder="1" applyAlignment="1" applyProtection="1">
      <alignment horizontal="center" vertical="center"/>
    </xf>
    <xf numFmtId="2" fontId="0" fillId="2" borderId="8" xfId="0" applyNumberFormat="1" applyFill="1" applyBorder="1" applyAlignment="1" applyProtection="1">
      <alignment horizontal="center" vertical="center"/>
    </xf>
    <xf numFmtId="0" fontId="0" fillId="3" borderId="3" xfId="0" applyFill="1" applyBorder="1" applyAlignment="1" applyProtection="1">
      <alignment horizontal="center" vertical="center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</xf>
    <xf numFmtId="0" fontId="0" fillId="4" borderId="6" xfId="0" applyFill="1" applyBorder="1" applyAlignment="1" applyProtection="1">
      <alignment horizontal="center" vertical="center"/>
      <protection locked="0"/>
    </xf>
    <xf numFmtId="0" fontId="1" fillId="0" borderId="0" xfId="0" applyFont="1"/>
    <xf numFmtId="0" fontId="0" fillId="5" borderId="9" xfId="0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2" fontId="0" fillId="6" borderId="6" xfId="0" applyNumberFormat="1" applyFill="1" applyBorder="1" applyAlignment="1">
      <alignment horizontal="center" vertical="center"/>
    </xf>
    <xf numFmtId="0" fontId="0" fillId="4" borderId="3" xfId="0" applyFill="1" applyBorder="1" applyAlignment="1" applyProtection="1">
      <alignment horizontal="center" vertical="center"/>
    </xf>
    <xf numFmtId="2" fontId="0" fillId="4" borderId="4" xfId="0" applyNumberForma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1" fontId="0" fillId="0" borderId="0" xfId="0" applyNumberFormat="1" applyFill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Fill="1" applyBorder="1" applyAlignment="1" applyProtection="1">
      <alignment horizontal="center" vertical="center"/>
    </xf>
    <xf numFmtId="0" fontId="0" fillId="0" borderId="15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1" fontId="0" fillId="0" borderId="0" xfId="0" applyNumberFormat="1" applyAlignment="1" applyProtection="1">
      <alignment horizontal="center" vertical="center"/>
      <protection locked="0"/>
    </xf>
    <xf numFmtId="1" fontId="0" fillId="0" borderId="12" xfId="0" applyNumberFormat="1" applyBorder="1" applyAlignment="1">
      <alignment horizontal="center" vertical="center"/>
    </xf>
    <xf numFmtId="1" fontId="0" fillId="0" borderId="14" xfId="0" applyNumberFormat="1" applyFill="1" applyBorder="1" applyAlignment="1" applyProtection="1">
      <alignment horizontal="center" vertical="center"/>
    </xf>
    <xf numFmtId="1" fontId="0" fillId="0" borderId="8" xfId="0" applyNumberFormat="1" applyBorder="1" applyAlignment="1" applyProtection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numFmt numFmtId="2" formatCode="0.00"/>
      <alignment horizontal="center" vertical="center" textRotation="0" wrapText="0" indent="0" justifyLastLine="0" shrinkToFit="0" readingOrder="0"/>
      <protection locked="0" hidden="0"/>
    </dxf>
    <dxf>
      <numFmt numFmtId="164" formatCode="dd/mm/yy\ hh:mm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962939058847159E-2"/>
          <c:y val="0.10875552195785274"/>
          <c:w val="0.90407412188230574"/>
          <c:h val="0.77439567389940522"/>
        </c:manualLayout>
      </c:layout>
      <c:scatterChart>
        <c:scatterStyle val="lineMarker"/>
        <c:varyColors val="0"/>
        <c:ser>
          <c:idx val="3"/>
          <c:order val="0"/>
          <c:tx>
            <c:strRef>
              <c:f>Suivi!$B$1</c:f>
              <c:strCache>
                <c:ptCount val="1"/>
                <c:pt idx="0">
                  <c:v>Glycemie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Suivi!$A$2:$A$99</c:f>
              <c:numCache>
                <c:formatCode>dd/mm/yy\ hh:mm</c:formatCode>
                <c:ptCount val="98"/>
              </c:numCache>
            </c:numRef>
          </c:xVal>
          <c:yVal>
            <c:numRef>
              <c:f>Suivi!$B$2:$B$99</c:f>
              <c:numCache>
                <c:formatCode>0.00</c:formatCode>
                <c:ptCount val="9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4C0-491F-AD8A-BD3809AAE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43832"/>
        <c:axId val="1156244160"/>
      </c:scatterChart>
      <c:valAx>
        <c:axId val="1156243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\ h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6244160"/>
        <c:crosses val="autoZero"/>
        <c:crossBetween val="midCat"/>
      </c:valAx>
      <c:valAx>
        <c:axId val="11562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6243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0</xdr:row>
      <xdr:rowOff>180975</xdr:rowOff>
    </xdr:from>
    <xdr:to>
      <xdr:col>14</xdr:col>
      <xdr:colOff>533400</xdr:colOff>
      <xdr:row>25</xdr:row>
      <xdr:rowOff>100012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9C898D-BF1C-463B-A5ED-A9A32D67B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87F723-3C8D-4FF7-8EAE-74E4BF4075DE}" name="Tableau3" displayName="Tableau3" ref="A1:E99" totalsRowShown="0" headerRowDxfId="8" dataDxfId="7">
  <autoFilter ref="A1:E99" xr:uid="{6CA7ACCA-B33D-4FDF-AA72-89DC084A81BB}"/>
  <tableColumns count="5">
    <tableColumn id="1" xr3:uid="{D6371905-87B0-4E91-B8FF-BFE0C004F9D4}" name="Date et heure" dataDxfId="6"/>
    <tableColumn id="2" xr3:uid="{5BDA1734-F2C3-4257-87D7-3B69EEE3BD55}" name="Glycemie" dataDxfId="5"/>
    <tableColumn id="3" xr3:uid="{401F7DE8-BE48-4BDB-B463-96CD08E25B93}" name="Quantité d'insuline" dataDxfId="4"/>
    <tableColumn id="4" xr3:uid="{4913B7B3-5DCD-4840-8A29-8575AD3EB881}" name="Raison de la piqure" dataDxfId="3"/>
    <tableColumn id="5" xr3:uid="{BCACCDB1-8470-4387-9C52-8CB689DE81C9}" name="Repas (quantité de glucides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E65D-3397-4137-9695-1EDF55D7D5AC}">
  <sheetPr codeName="Feuil1"/>
  <dimension ref="A1:M99"/>
  <sheetViews>
    <sheetView tabSelected="1" workbookViewId="0">
      <selection activeCell="E11" sqref="E11"/>
    </sheetView>
  </sheetViews>
  <sheetFormatPr baseColWidth="10" defaultColWidth="11.42578125" defaultRowHeight="15" x14ac:dyDescent="0.25"/>
  <cols>
    <col min="1" max="1" width="17.7109375" style="5" bestFit="1" customWidth="1"/>
    <col min="2" max="2" width="14" style="6" bestFit="1" customWidth="1"/>
    <col min="3" max="3" width="22.85546875" style="4" bestFit="1" customWidth="1"/>
    <col min="4" max="4" width="22.5703125" style="4" bestFit="1" customWidth="1"/>
    <col min="5" max="5" width="31.140625" style="4" bestFit="1" customWidth="1"/>
    <col min="6" max="6" width="11.42578125" style="1"/>
    <col min="7" max="7" width="98.85546875" style="1" bestFit="1" customWidth="1"/>
    <col min="8" max="12" width="11.42578125" style="1"/>
    <col min="13" max="13" width="89" style="1" bestFit="1" customWidth="1"/>
    <col min="14" max="16384" width="11.42578125" style="1"/>
  </cols>
  <sheetData>
    <row r="1" spans="1:13" s="4" customFormat="1" x14ac:dyDescent="0.25">
      <c r="A1" s="5" t="s">
        <v>1</v>
      </c>
      <c r="B1" s="6" t="s">
        <v>0</v>
      </c>
      <c r="C1" s="4" t="s">
        <v>3</v>
      </c>
      <c r="D1" s="4" t="s">
        <v>4</v>
      </c>
      <c r="E1" s="4" t="s">
        <v>2</v>
      </c>
    </row>
    <row r="2" spans="1:13" x14ac:dyDescent="0.25">
      <c r="C2" s="29"/>
    </row>
    <row r="3" spans="1:13" x14ac:dyDescent="0.25">
      <c r="C3" s="29"/>
    </row>
    <row r="4" spans="1:13" x14ac:dyDescent="0.25">
      <c r="C4" s="29"/>
    </row>
    <row r="5" spans="1:13" x14ac:dyDescent="0.25">
      <c r="C5" s="29"/>
    </row>
    <row r="6" spans="1:13" x14ac:dyDescent="0.25">
      <c r="C6" s="29"/>
    </row>
    <row r="7" spans="1:13" x14ac:dyDescent="0.2">
      <c r="B7" s="16"/>
      <c r="C7" s="29"/>
    </row>
    <row r="8" spans="1:13" x14ac:dyDescent="0.25">
      <c r="C8" s="29"/>
    </row>
    <row r="9" spans="1:13" x14ac:dyDescent="0.25">
      <c r="C9" s="29"/>
    </row>
    <row r="10" spans="1:13" x14ac:dyDescent="0.25">
      <c r="C10" s="29"/>
    </row>
    <row r="11" spans="1:13" x14ac:dyDescent="0.25">
      <c r="C11" s="29"/>
    </row>
    <row r="12" spans="1:13" x14ac:dyDescent="0.25">
      <c r="C12" s="29"/>
    </row>
    <row r="13" spans="1:13" x14ac:dyDescent="0.25">
      <c r="C13" s="29"/>
    </row>
    <row r="14" spans="1:13" x14ac:dyDescent="0.25">
      <c r="C14" s="29"/>
    </row>
    <row r="15" spans="1:13" x14ac:dyDescent="0.25">
      <c r="C15" s="29"/>
    </row>
    <row r="16" spans="1:13" x14ac:dyDescent="0.25">
      <c r="C16" s="29"/>
      <c r="M16" s="1" t="str">
        <f>PROPER(G17)</f>
        <v/>
      </c>
    </row>
    <row r="17" spans="3:13" x14ac:dyDescent="0.25">
      <c r="C17" s="29"/>
      <c r="G17"/>
      <c r="M17" s="1" t="str">
        <f>PROPER(LEFT(H24,1))&amp;MID(H24,2,LEN(H24))</f>
        <v/>
      </c>
    </row>
    <row r="18" spans="3:13" x14ac:dyDescent="0.25">
      <c r="C18" s="29"/>
    </row>
    <row r="19" spans="3:13" x14ac:dyDescent="0.25">
      <c r="C19" s="29"/>
    </row>
    <row r="20" spans="3:13" x14ac:dyDescent="0.25">
      <c r="C20" s="29"/>
    </row>
    <row r="21" spans="3:13" x14ac:dyDescent="0.25">
      <c r="C21" s="29"/>
    </row>
    <row r="22" spans="3:13" x14ac:dyDescent="0.25">
      <c r="C22" s="29"/>
    </row>
    <row r="23" spans="3:13" x14ac:dyDescent="0.25">
      <c r="C23" s="29"/>
    </row>
    <row r="24" spans="3:13" x14ac:dyDescent="0.25">
      <c r="C24" s="29"/>
    </row>
    <row r="25" spans="3:13" x14ac:dyDescent="0.25">
      <c r="C25" s="29"/>
    </row>
    <row r="26" spans="3:13" x14ac:dyDescent="0.25">
      <c r="C26" s="29"/>
    </row>
    <row r="27" spans="3:13" x14ac:dyDescent="0.25">
      <c r="C27" s="29"/>
    </row>
    <row r="28" spans="3:13" x14ac:dyDescent="0.25">
      <c r="C28" s="29"/>
    </row>
    <row r="29" spans="3:13" x14ac:dyDescent="0.25">
      <c r="C29" s="29"/>
    </row>
    <row r="30" spans="3:13" x14ac:dyDescent="0.25">
      <c r="C30" s="29"/>
    </row>
    <row r="31" spans="3:13" x14ac:dyDescent="0.25">
      <c r="C31" s="29"/>
    </row>
    <row r="32" spans="3:13" x14ac:dyDescent="0.25">
      <c r="C32" s="29"/>
    </row>
    <row r="33" spans="3:3" x14ac:dyDescent="0.25">
      <c r="C33" s="29"/>
    </row>
    <row r="34" spans="3:3" x14ac:dyDescent="0.25">
      <c r="C34" s="29"/>
    </row>
    <row r="35" spans="3:3" x14ac:dyDescent="0.25">
      <c r="C35" s="29"/>
    </row>
    <row r="36" spans="3:3" x14ac:dyDescent="0.25">
      <c r="C36" s="29"/>
    </row>
    <row r="37" spans="3:3" x14ac:dyDescent="0.25">
      <c r="C37" s="29"/>
    </row>
    <row r="38" spans="3:3" x14ac:dyDescent="0.25">
      <c r="C38" s="29"/>
    </row>
    <row r="39" spans="3:3" x14ac:dyDescent="0.25">
      <c r="C39" s="29"/>
    </row>
    <row r="40" spans="3:3" x14ac:dyDescent="0.25">
      <c r="C40" s="29"/>
    </row>
    <row r="41" spans="3:3" x14ac:dyDescent="0.25">
      <c r="C41" s="29"/>
    </row>
    <row r="42" spans="3:3" x14ac:dyDescent="0.25">
      <c r="C42" s="29"/>
    </row>
    <row r="43" spans="3:3" x14ac:dyDescent="0.25">
      <c r="C43" s="29"/>
    </row>
    <row r="44" spans="3:3" x14ac:dyDescent="0.25">
      <c r="C44" s="29"/>
    </row>
    <row r="45" spans="3:3" x14ac:dyDescent="0.25">
      <c r="C45" s="29"/>
    </row>
    <row r="46" spans="3:3" x14ac:dyDescent="0.25">
      <c r="C46" s="29"/>
    </row>
    <row r="47" spans="3:3" x14ac:dyDescent="0.25">
      <c r="C47" s="29"/>
    </row>
    <row r="48" spans="3:3" x14ac:dyDescent="0.25">
      <c r="C48" s="29"/>
    </row>
    <row r="49" spans="3:3" x14ac:dyDescent="0.25">
      <c r="C49" s="29"/>
    </row>
    <row r="50" spans="3:3" x14ac:dyDescent="0.25">
      <c r="C50" s="29"/>
    </row>
    <row r="51" spans="3:3" x14ac:dyDescent="0.25">
      <c r="C51" s="29"/>
    </row>
    <row r="52" spans="3:3" x14ac:dyDescent="0.25">
      <c r="C52" s="29"/>
    </row>
    <row r="53" spans="3:3" x14ac:dyDescent="0.25">
      <c r="C53" s="29"/>
    </row>
    <row r="54" spans="3:3" x14ac:dyDescent="0.25">
      <c r="C54" s="29"/>
    </row>
    <row r="55" spans="3:3" x14ac:dyDescent="0.25">
      <c r="C55" s="29"/>
    </row>
    <row r="56" spans="3:3" x14ac:dyDescent="0.25">
      <c r="C56" s="29"/>
    </row>
    <row r="57" spans="3:3" x14ac:dyDescent="0.25">
      <c r="C57" s="29"/>
    </row>
    <row r="58" spans="3:3" x14ac:dyDescent="0.25">
      <c r="C58" s="29"/>
    </row>
    <row r="59" spans="3:3" x14ac:dyDescent="0.25">
      <c r="C59" s="29"/>
    </row>
    <row r="60" spans="3:3" x14ac:dyDescent="0.25">
      <c r="C60" s="29"/>
    </row>
    <row r="61" spans="3:3" x14ac:dyDescent="0.25">
      <c r="C61" s="29"/>
    </row>
    <row r="62" spans="3:3" x14ac:dyDescent="0.25">
      <c r="C62" s="29"/>
    </row>
    <row r="63" spans="3:3" x14ac:dyDescent="0.25">
      <c r="C63" s="29"/>
    </row>
    <row r="64" spans="3:3" x14ac:dyDescent="0.25">
      <c r="C64" s="29"/>
    </row>
    <row r="65" spans="3:3" x14ac:dyDescent="0.25">
      <c r="C65" s="29"/>
    </row>
    <row r="66" spans="3:3" x14ac:dyDescent="0.25">
      <c r="C66" s="29"/>
    </row>
    <row r="67" spans="3:3" x14ac:dyDescent="0.25">
      <c r="C67" s="29"/>
    </row>
    <row r="68" spans="3:3" x14ac:dyDescent="0.25">
      <c r="C68" s="29"/>
    </row>
    <row r="69" spans="3:3" x14ac:dyDescent="0.25">
      <c r="C69" s="29"/>
    </row>
    <row r="70" spans="3:3" x14ac:dyDescent="0.25">
      <c r="C70" s="29"/>
    </row>
    <row r="71" spans="3:3" x14ac:dyDescent="0.25">
      <c r="C71" s="29"/>
    </row>
    <row r="72" spans="3:3" x14ac:dyDescent="0.25">
      <c r="C72" s="29"/>
    </row>
    <row r="73" spans="3:3" x14ac:dyDescent="0.25">
      <c r="C73" s="29"/>
    </row>
    <row r="74" spans="3:3" x14ac:dyDescent="0.25">
      <c r="C74" s="29"/>
    </row>
    <row r="75" spans="3:3" x14ac:dyDescent="0.25">
      <c r="C75" s="29"/>
    </row>
    <row r="76" spans="3:3" x14ac:dyDescent="0.25">
      <c r="C76" s="29"/>
    </row>
    <row r="77" spans="3:3" x14ac:dyDescent="0.25">
      <c r="C77" s="29"/>
    </row>
    <row r="78" spans="3:3" x14ac:dyDescent="0.25">
      <c r="C78" s="29"/>
    </row>
    <row r="79" spans="3:3" x14ac:dyDescent="0.25">
      <c r="C79" s="29"/>
    </row>
    <row r="80" spans="3:3" x14ac:dyDescent="0.25">
      <c r="C80" s="29"/>
    </row>
    <row r="81" spans="3:7" x14ac:dyDescent="0.25">
      <c r="C81" s="29"/>
    </row>
    <row r="82" spans="3:7" x14ac:dyDescent="0.25">
      <c r="C82" s="29"/>
    </row>
    <row r="83" spans="3:7" x14ac:dyDescent="0.25">
      <c r="C83" s="29"/>
    </row>
    <row r="84" spans="3:7" x14ac:dyDescent="0.25">
      <c r="C84" s="29"/>
      <c r="G84" s="33"/>
    </row>
    <row r="85" spans="3:7" x14ac:dyDescent="0.25">
      <c r="C85" s="29"/>
    </row>
    <row r="86" spans="3:7" x14ac:dyDescent="0.25">
      <c r="C86" s="29"/>
    </row>
    <row r="87" spans="3:7" x14ac:dyDescent="0.25">
      <c r="C87" s="29"/>
    </row>
    <row r="88" spans="3:7" x14ac:dyDescent="0.25">
      <c r="C88" s="29"/>
      <c r="G88" s="33"/>
    </row>
    <row r="89" spans="3:7" x14ac:dyDescent="0.25">
      <c r="C89" s="29"/>
    </row>
    <row r="90" spans="3:7" x14ac:dyDescent="0.25">
      <c r="C90" s="29"/>
    </row>
    <row r="91" spans="3:7" x14ac:dyDescent="0.25">
      <c r="C91" s="29"/>
    </row>
    <row r="92" spans="3:7" x14ac:dyDescent="0.25">
      <c r="C92" s="29"/>
    </row>
    <row r="93" spans="3:7" x14ac:dyDescent="0.25">
      <c r="C93" s="29"/>
    </row>
    <row r="94" spans="3:7" x14ac:dyDescent="0.25">
      <c r="C94" s="29"/>
    </row>
    <row r="95" spans="3:7" x14ac:dyDescent="0.25">
      <c r="C95" s="29"/>
    </row>
    <row r="96" spans="3:7" x14ac:dyDescent="0.25">
      <c r="C96" s="29"/>
    </row>
    <row r="97" spans="3:3" x14ac:dyDescent="0.25">
      <c r="C97" s="29"/>
    </row>
    <row r="98" spans="3:3" x14ac:dyDescent="0.25">
      <c r="C98" s="29"/>
    </row>
    <row r="99" spans="3:3" x14ac:dyDescent="0.25">
      <c r="C99" s="29"/>
    </row>
  </sheetData>
  <sheetProtection autoFilter="0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0ACC-C61C-4C2F-A865-B26EC8CABCA3}">
  <sheetPr codeName="Feuil3"/>
  <dimension ref="A1:H21"/>
  <sheetViews>
    <sheetView workbookViewId="0">
      <selection activeCell="F15" sqref="F15"/>
    </sheetView>
  </sheetViews>
  <sheetFormatPr baseColWidth="10" defaultColWidth="11.42578125" defaultRowHeight="15" x14ac:dyDescent="0.25"/>
  <cols>
    <col min="1" max="1" width="52.42578125" style="1" bestFit="1" customWidth="1"/>
    <col min="2" max="2" width="11.42578125" style="1"/>
    <col min="3" max="3" width="39.28515625" style="1" bestFit="1" customWidth="1"/>
    <col min="4" max="4" width="9.5703125" style="1" bestFit="1" customWidth="1"/>
    <col min="5" max="5" width="17.140625" style="1" bestFit="1" customWidth="1"/>
    <col min="6" max="6" width="17.140625" style="1" customWidth="1"/>
    <col min="7" max="16384" width="11.42578125" style="1"/>
  </cols>
  <sheetData>
    <row r="1" spans="1:5" x14ac:dyDescent="0.25">
      <c r="D1" s="7" t="s">
        <v>6</v>
      </c>
      <c r="E1" s="1" t="s">
        <v>23</v>
      </c>
    </row>
    <row r="2" spans="1:5" x14ac:dyDescent="0.25">
      <c r="A2" s="34" t="s">
        <v>26</v>
      </c>
      <c r="C2" s="1" t="s">
        <v>18</v>
      </c>
      <c r="D2" s="8"/>
      <c r="E2" s="1" t="s">
        <v>24</v>
      </c>
    </row>
    <row r="3" spans="1:5" x14ac:dyDescent="0.25">
      <c r="A3" s="34"/>
      <c r="C3" s="8" t="s">
        <v>10</v>
      </c>
      <c r="D3" s="8"/>
      <c r="E3" s="1" t="s">
        <v>24</v>
      </c>
    </row>
    <row r="4" spans="1:5" x14ac:dyDescent="0.25">
      <c r="A4" s="34"/>
      <c r="C4" s="1" t="s">
        <v>11</v>
      </c>
      <c r="D4" s="1">
        <v>1.2</v>
      </c>
      <c r="E4" s="1" t="s">
        <v>24</v>
      </c>
    </row>
    <row r="5" spans="1:5" x14ac:dyDescent="0.25">
      <c r="A5" s="34"/>
      <c r="C5" s="1" t="s">
        <v>12</v>
      </c>
      <c r="D5" s="1">
        <v>0.7</v>
      </c>
      <c r="E5" s="1" t="s">
        <v>24</v>
      </c>
    </row>
    <row r="6" spans="1:5" ht="15.75" thickBot="1" x14ac:dyDescent="0.3">
      <c r="C6" s="27"/>
      <c r="D6" s="28"/>
    </row>
    <row r="7" spans="1:5" x14ac:dyDescent="0.25">
      <c r="A7" s="34" t="s">
        <v>22</v>
      </c>
      <c r="C7" s="12" t="s">
        <v>7</v>
      </c>
      <c r="D7" s="13"/>
      <c r="E7" s="1" t="s">
        <v>25</v>
      </c>
    </row>
    <row r="8" spans="1:5" ht="15.75" thickBot="1" x14ac:dyDescent="0.3">
      <c r="A8" s="34"/>
      <c r="C8" s="14" t="s">
        <v>8</v>
      </c>
      <c r="D8" s="15"/>
      <c r="E8" s="1" t="s">
        <v>25</v>
      </c>
    </row>
    <row r="9" spans="1:5" ht="15.75" thickBot="1" x14ac:dyDescent="0.3"/>
    <row r="10" spans="1:5" ht="15.75" thickBot="1" x14ac:dyDescent="0.3">
      <c r="A10" s="34" t="s">
        <v>16</v>
      </c>
      <c r="C10" s="10" t="s">
        <v>9</v>
      </c>
      <c r="D10" s="11" t="e">
        <f>(D7-D8)/D19</f>
        <v>#DIV/0!</v>
      </c>
      <c r="E10" s="1" t="s">
        <v>24</v>
      </c>
    </row>
    <row r="11" spans="1:5" x14ac:dyDescent="0.25">
      <c r="A11" s="34"/>
      <c r="C11" s="23" t="s">
        <v>17</v>
      </c>
      <c r="D11" s="24"/>
      <c r="E11" s="1" t="s">
        <v>25</v>
      </c>
    </row>
    <row r="13" spans="1:5" ht="15.75" thickBot="1" x14ac:dyDescent="0.3">
      <c r="C13" s="2"/>
      <c r="D13" s="3"/>
    </row>
    <row r="14" spans="1:5" x14ac:dyDescent="0.25">
      <c r="A14" s="34" t="s">
        <v>15</v>
      </c>
      <c r="C14" s="21" t="s">
        <v>5</v>
      </c>
      <c r="D14" s="22" t="e">
        <f>SUBTOTAL(1,Suivi!B:B)</f>
        <v>#DIV/0!</v>
      </c>
      <c r="E14" s="1" t="s">
        <v>24</v>
      </c>
    </row>
    <row r="15" spans="1:5" x14ac:dyDescent="0.25">
      <c r="A15" s="34"/>
      <c r="C15" s="17" t="s">
        <v>13</v>
      </c>
      <c r="D15" s="18">
        <f>SUBTOTAL(5,Suivi!B:B)</f>
        <v>0</v>
      </c>
      <c r="E15" s="1" t="s">
        <v>24</v>
      </c>
    </row>
    <row r="16" spans="1:5" ht="15.75" thickBot="1" x14ac:dyDescent="0.3">
      <c r="A16" s="34"/>
      <c r="C16" s="19" t="s">
        <v>14</v>
      </c>
      <c r="D16" s="20">
        <f>SUBTOTAL(4,Suivi!B:B)</f>
        <v>0</v>
      </c>
      <c r="E16" s="1" t="s">
        <v>24</v>
      </c>
    </row>
    <row r="18" spans="3:8" ht="15.75" thickBot="1" x14ac:dyDescent="0.3">
      <c r="H18" s="2"/>
    </row>
    <row r="19" spans="3:8" ht="15.75" thickBot="1" x14ac:dyDescent="0.3">
      <c r="C19" s="9" t="s">
        <v>19</v>
      </c>
      <c r="D19" s="32">
        <f>IF(D7="",0,(D7-1.2)/$D$3)</f>
        <v>0</v>
      </c>
      <c r="E19" s="1" t="s">
        <v>24</v>
      </c>
    </row>
    <row r="20" spans="3:8" ht="15.75" thickBot="1" x14ac:dyDescent="0.3">
      <c r="C20" s="26" t="s">
        <v>20</v>
      </c>
      <c r="D20" s="31">
        <f>(D11*D2)/10</f>
        <v>0</v>
      </c>
      <c r="E20" s="1" t="s">
        <v>24</v>
      </c>
    </row>
    <row r="21" spans="3:8" ht="15.75" thickBot="1" x14ac:dyDescent="0.3">
      <c r="C21" s="25" t="s">
        <v>21</v>
      </c>
      <c r="D21" s="30">
        <f>D20+D19</f>
        <v>0</v>
      </c>
      <c r="E21" s="1" t="s">
        <v>24</v>
      </c>
    </row>
  </sheetData>
  <sheetProtection autoFilter="0"/>
  <mergeCells count="4">
    <mergeCell ref="A14:A16"/>
    <mergeCell ref="A10:A11"/>
    <mergeCell ref="A7:A8"/>
    <mergeCell ref="A2:A5"/>
  </mergeCells>
  <conditionalFormatting sqref="E1:F1048576">
    <cfRule type="cellIs" dxfId="1" priority="1" operator="equal">
      <formula>"oui"</formula>
    </cfRule>
    <cfRule type="cellIs" dxfId="0" priority="2" operator="equal">
      <formula>"non"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AAB0-B6CA-4159-A2CC-0BF976893638}">
  <sheetPr codeName="Feuil2"/>
  <dimension ref="A1"/>
  <sheetViews>
    <sheetView workbookViewId="0">
      <selection activeCell="J33" sqref="J33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849F4C2B8AB543BDD1EBB1BCBBCA33" ma:contentTypeVersion="11" ma:contentTypeDescription="Create a new document." ma:contentTypeScope="" ma:versionID="c5b0278fe170f0bb6892ec091f27f198">
  <xsd:schema xmlns:xsd="http://www.w3.org/2001/XMLSchema" xmlns:xs="http://www.w3.org/2001/XMLSchema" xmlns:p="http://schemas.microsoft.com/office/2006/metadata/properties" xmlns:ns3="4e48a5bc-968b-4962-9326-2cb9230bf629" xmlns:ns4="f1bc7ee3-85ca-49fe-b9f9-dab718cd6ece" targetNamespace="http://schemas.microsoft.com/office/2006/metadata/properties" ma:root="true" ma:fieldsID="005a76199279f8db4f059fb36baaa446" ns3:_="" ns4:_="">
    <xsd:import namespace="4e48a5bc-968b-4962-9326-2cb9230bf629"/>
    <xsd:import namespace="f1bc7ee3-85ca-49fe-b9f9-dab718cd6e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8a5bc-968b-4962-9326-2cb9230bf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bc7ee3-85ca-49fe-b9f9-dab718cd6e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F54E1E-4013-45A1-B91B-C249DD4C7F62}">
  <ds:schemaRefs>
    <ds:schemaRef ds:uri="http://purl.org/dc/elements/1.1/"/>
    <ds:schemaRef ds:uri="http://schemas.microsoft.com/office/2006/metadata/properties"/>
    <ds:schemaRef ds:uri="http://purl.org/dc/terms/"/>
    <ds:schemaRef ds:uri="4e48a5bc-968b-4962-9326-2cb9230bf629"/>
    <ds:schemaRef ds:uri="http://schemas.microsoft.com/office/2006/documentManagement/types"/>
    <ds:schemaRef ds:uri="http://schemas.microsoft.com/office/infopath/2007/PartnerControls"/>
    <ds:schemaRef ds:uri="f1bc7ee3-85ca-49fe-b9f9-dab718cd6ece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F32BE3-C5DB-4440-BA4F-F80E0FEBBB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823CA0-512B-46AE-AF2D-69A5659270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48a5bc-968b-4962-9326-2cb9230bf629"/>
    <ds:schemaRef ds:uri="f1bc7ee3-85ca-49fe-b9f9-dab718cd6e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Suivi</vt:lpstr>
      <vt:lpstr>Calcul</vt:lpstr>
      <vt:lpstr>Graphique</vt:lpstr>
    </vt:vector>
  </TitlesOfParts>
  <Company>EDF Renouvelables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GREGOIRE Externe</dc:creator>
  <cp:lastModifiedBy>Julien GREGOIRE Externe</cp:lastModifiedBy>
  <dcterms:created xsi:type="dcterms:W3CDTF">2021-08-03T08:09:42Z</dcterms:created>
  <dcterms:modified xsi:type="dcterms:W3CDTF">2021-10-26T12:36:37Z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0x0101002E849F4C2B8AB543BDD1EBB1BCBBCA33</vt:lpwstr>
  </property>
  <property fmtid="{D5CDD505-2E9C-101B-9397-08002B2CF9AE}" pid="3" name="MSIP_Label_9ecddc4d-4d90-4bad-ba03-f51abc8b1075_Enabled">
    <vt:lpwstr>true</vt:lpwstr>
  </property>
  <property fmtid="{D5CDD505-2E9C-101B-9397-08002B2CF9AE}" pid="4" name="MSIP_Label_9ecddc4d-4d90-4bad-ba03-f51abc8b1075_SetDate">
    <vt:lpwstr>2021-10-13T13:03:22Z</vt:lpwstr>
  </property>
  <property fmtid="{D5CDD505-2E9C-101B-9397-08002B2CF9AE}" pid="5" name="MSIP_Label_9ecddc4d-4d90-4bad-ba03-f51abc8b1075_Method">
    <vt:lpwstr>Privileged</vt:lpwstr>
  </property>
  <property fmtid="{D5CDD505-2E9C-101B-9397-08002B2CF9AE}" pid="6" name="MSIP_Label_9ecddc4d-4d90-4bad-ba03-f51abc8b1075_Name">
    <vt:lpwstr>Personal</vt:lpwstr>
  </property>
  <property fmtid="{D5CDD505-2E9C-101B-9397-08002B2CF9AE}" pid="7" name="MSIP_Label_9ecddc4d-4d90-4bad-ba03-f51abc8b1075_SiteId">
    <vt:lpwstr>34c5e68e-b374-47fe-91da-0e3d638792fb</vt:lpwstr>
  </property>
  <property fmtid="{D5CDD505-2E9C-101B-9397-08002B2CF9AE}" pid="8" name="MSIP_Label_9ecddc4d-4d90-4bad-ba03-f51abc8b1075_ActionId">
    <vt:lpwstr>372c9ef3-50e0-4ac3-8dc8-79ab00098c8c</vt:lpwstr>
  </property>
  <property fmtid="{D5CDD505-2E9C-101B-9397-08002B2CF9AE}" pid="9" name="MSIP_Label_9ecddc4d-4d90-4bad-ba03-f51abc8b1075_ContentBits">
    <vt:lpwstr>0</vt:lpwstr>
  </property>
</Properties>
</file>